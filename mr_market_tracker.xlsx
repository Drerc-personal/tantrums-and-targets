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Action_Log" sheetId="3" state="visible" r:id="rId3"/>
    <sheet xmlns:r="http://schemas.openxmlformats.org/officeDocument/2006/relationships" name="Pending_Orders" sheetId="4" state="visible" r:id="rId4"/>
    <sheet xmlns:r="http://schemas.openxmlformats.org/officeDocument/2006/relationships" name="Target_History" sheetId="5" state="visible" r:id="rId5"/>
    <sheet xmlns:r="http://schemas.openxmlformats.org/officeDocument/2006/relationships" name="Benchmark" sheetId="6" state="visible" r:id="rId6"/>
    <sheet xmlns:r="http://schemas.openxmlformats.org/officeDocument/2006/relationships" name="Lessons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" customWidth="1" min="3" max="3"/>
    <col width="10" customWidth="1" min="4" max="4"/>
    <col width="14" customWidth="1" min="5" max="5"/>
    <col width="12" customWidth="1" min="6" max="6"/>
    <col width="70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Tier</t>
        </is>
      </c>
      <c r="D1" s="1" t="inlineStr">
        <is>
          <t>Strategy</t>
        </is>
      </c>
      <c r="E1" s="1" t="inlineStr">
        <is>
          <t>Target_Start</t>
        </is>
      </c>
      <c r="F1" s="1" t="inlineStr">
        <is>
          <t>Target_Add</t>
        </is>
      </c>
      <c r="G1" s="1" t="inlineStr">
        <is>
          <t>Exit_Criteria</t>
        </is>
      </c>
    </row>
    <row r="2">
      <c r="A2" t="inlineStr">
        <is>
          <t>VOO</t>
        </is>
      </c>
      <c r="B2" t="inlineStr">
        <is>
          <t>S&amp;P 500 Index</t>
        </is>
      </c>
      <c r="C2" t="inlineStr">
        <is>
          <t>1</t>
        </is>
      </c>
      <c r="D2" t="inlineStr">
        <is>
          <t>CORE</t>
        </is>
      </c>
      <c r="E2" s="2" t="n">
        <v>570</v>
      </c>
      <c r="F2" s="2" t="n">
        <v>540</v>
      </c>
      <c r="G2" t="inlineStr">
        <is>
          <t>N/A - index, always hold</t>
        </is>
      </c>
    </row>
    <row r="3">
      <c r="A3" t="inlineStr">
        <is>
          <t>MSFT</t>
        </is>
      </c>
      <c r="B3" t="inlineStr">
        <is>
          <t>Microsoft</t>
        </is>
      </c>
      <c r="C3" t="inlineStr">
        <is>
          <t>1</t>
        </is>
      </c>
      <c r="D3" t="inlineStr">
        <is>
          <t>CORE</t>
        </is>
      </c>
      <c r="E3" s="2" t="n">
        <v>450</v>
      </c>
      <c r="F3" s="2" t="n">
        <v>445</v>
      </c>
      <c r="G3" t="inlineStr">
        <is>
          <t>Azure growth &lt;15% for 3+ quarters; loses enterprise cloud share</t>
        </is>
      </c>
    </row>
    <row r="4">
      <c r="A4" t="inlineStr">
        <is>
          <t>AAPL</t>
        </is>
      </c>
      <c r="B4" t="inlineStr">
        <is>
          <t>Apple</t>
        </is>
      </c>
      <c r="C4" t="inlineStr">
        <is>
          <t>1</t>
        </is>
      </c>
      <c r="D4" t="inlineStr">
        <is>
          <t>CORE</t>
        </is>
      </c>
      <c r="E4" s="2" t="n">
        <v>230</v>
      </c>
      <c r="F4" s="2" t="n">
        <v>220</v>
      </c>
      <c r="G4" t="inlineStr">
        <is>
          <t>iPhone unit decline &gt;15% YoY for 2+ years; Services growth stalls &lt;10%</t>
        </is>
      </c>
    </row>
    <row r="5">
      <c r="A5" t="inlineStr">
        <is>
          <t>NVDA</t>
        </is>
      </c>
      <c r="B5" t="inlineStr">
        <is>
          <t>NVIDIA</t>
        </is>
      </c>
      <c r="C5" t="inlineStr">
        <is>
          <t>1</t>
        </is>
      </c>
      <c r="D5" t="inlineStr">
        <is>
          <t>CORE</t>
        </is>
      </c>
      <c r="E5" s="2" t="n">
        <v>150</v>
      </c>
      <c r="F5" s="2" t="n">
        <v>140</v>
      </c>
      <c r="G5" t="inlineStr">
        <is>
          <t>Loses GPU AI training dominance to AMD/custom silicon</t>
        </is>
      </c>
    </row>
    <row r="6">
      <c r="A6" t="inlineStr">
        <is>
          <t>ASML</t>
        </is>
      </c>
      <c r="B6" t="inlineStr">
        <is>
          <t>ASML</t>
        </is>
      </c>
      <c r="C6" t="inlineStr">
        <is>
          <t>1</t>
        </is>
      </c>
      <c r="D6" t="inlineStr">
        <is>
          <t>CORE</t>
        </is>
      </c>
      <c r="E6" s="2" t="n">
        <v>900</v>
      </c>
      <c r="F6" s="2" t="n">
        <v>850</v>
      </c>
      <c r="G6" t="inlineStr">
        <is>
          <t>EUV technology leapfrogged; China restrictions permanently impair &gt;30% revenue</t>
        </is>
      </c>
    </row>
    <row r="7">
      <c r="A7" t="inlineStr">
        <is>
          <t>BAC</t>
        </is>
      </c>
      <c r="B7" t="inlineStr">
        <is>
          <t>Bank of America</t>
        </is>
      </c>
      <c r="C7" t="inlineStr">
        <is>
          <t>1</t>
        </is>
      </c>
      <c r="D7" t="inlineStr">
        <is>
          <t>CORE</t>
        </is>
      </c>
      <c r="E7" s="2" t="n">
        <v>48</v>
      </c>
      <c r="F7" s="2" t="n">
        <v>45</v>
      </c>
      <c r="G7" t="inlineStr">
        <is>
          <t>Net interest margin compression &lt;2% sustained; major credit losses</t>
        </is>
      </c>
    </row>
    <row r="8">
      <c r="A8" t="inlineStr">
        <is>
          <t>CB</t>
        </is>
      </c>
      <c r="B8" t="inlineStr">
        <is>
          <t>Chubb</t>
        </is>
      </c>
      <c r="C8" t="inlineStr">
        <is>
          <t>1</t>
        </is>
      </c>
      <c r="D8" t="inlineStr">
        <is>
          <t>CORE</t>
        </is>
      </c>
      <c r="E8" s="2" t="n">
        <v>280</v>
      </c>
      <c r="F8" s="2" t="n">
        <v>270</v>
      </c>
      <c r="G8" t="inlineStr">
        <is>
          <t>Combined ratio &gt;100% for 2+ years; catastrophic reserve deficiency</t>
        </is>
      </c>
    </row>
    <row r="9">
      <c r="A9" t="inlineStr">
        <is>
          <t>V</t>
        </is>
      </c>
      <c r="B9" t="inlineStr">
        <is>
          <t>Visa</t>
        </is>
      </c>
      <c r="C9" t="inlineStr">
        <is>
          <t>1</t>
        </is>
      </c>
      <c r="D9" t="inlineStr">
        <is>
          <t>CORE</t>
        </is>
      </c>
      <c r="E9" s="2" t="n">
        <v>310</v>
      </c>
      <c r="F9" s="2" t="n">
        <v>300</v>
      </c>
      <c r="G9" t="inlineStr">
        <is>
          <t>Payment volume growth &lt;5% sustained; regulatory cap on interchange fees</t>
        </is>
      </c>
    </row>
    <row r="10">
      <c r="A10" t="inlineStr">
        <is>
          <t>MCO</t>
        </is>
      </c>
      <c r="B10" t="inlineStr">
        <is>
          <t>Moody's</t>
        </is>
      </c>
      <c r="C10" t="inlineStr">
        <is>
          <t>1</t>
        </is>
      </c>
      <c r="D10" t="inlineStr">
        <is>
          <t>CORE</t>
        </is>
      </c>
      <c r="E10" s="2" t="n">
        <v>450</v>
      </c>
      <c r="F10" s="2" t="n">
        <v>430</v>
      </c>
      <c r="G10" t="inlineStr">
        <is>
          <t>Credit rating market share loss &gt;10pts; regulatory action on conflicts</t>
        </is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1</t>
        </is>
      </c>
      <c r="D11" t="inlineStr">
        <is>
          <t>CORE</t>
        </is>
      </c>
      <c r="E11" s="2" t="n">
        <v>180</v>
      </c>
      <c r="F11" s="2" t="n">
        <v>170</v>
      </c>
      <c r="G11" t="inlineStr">
        <is>
          <t>Talc litigation exceeds $50B; pharma pipeline fails to offset LOEs</t>
        </is>
      </c>
    </row>
    <row r="12">
      <c r="A12" t="inlineStr">
        <is>
          <t>NVO</t>
        </is>
      </c>
      <c r="B12" t="inlineStr">
        <is>
          <t>Novo Nordisk</t>
        </is>
      </c>
      <c r="C12" t="inlineStr">
        <is>
          <t>1</t>
        </is>
      </c>
      <c r="D12" t="inlineStr">
        <is>
          <t>CORE</t>
        </is>
      </c>
      <c r="E12" s="2" t="n">
        <v>50</v>
      </c>
      <c r="F12" s="2" t="n">
        <v>45</v>
      </c>
      <c r="G12" t="inlineStr">
        <is>
          <t>GLP-1 competition erodes pricing power &gt;30%; safety signal emerges</t>
        </is>
      </c>
    </row>
    <row r="13">
      <c r="A13" t="inlineStr">
        <is>
          <t>CVX</t>
        </is>
      </c>
      <c r="B13" t="inlineStr">
        <is>
          <t>Chevron</t>
        </is>
      </c>
      <c r="C13" t="inlineStr">
        <is>
          <t>1</t>
        </is>
      </c>
      <c r="D13" t="inlineStr">
        <is>
          <t>CORE</t>
        </is>
      </c>
      <c r="E13" s="2" t="n">
        <v>150</v>
      </c>
      <c r="F13" s="2" t="n">
        <v>145</v>
      </c>
      <c r="G13" t="inlineStr">
        <is>
          <t>Oil prices &lt;$50 sustained 2+ years; fails energy transition pivot</t>
        </is>
      </c>
    </row>
    <row r="14">
      <c r="A14" t="inlineStr">
        <is>
          <t>GEV</t>
        </is>
      </c>
      <c r="B14" t="inlineStr">
        <is>
          <t>GE Vernova</t>
        </is>
      </c>
      <c r="C14" t="inlineStr">
        <is>
          <t>1</t>
        </is>
      </c>
      <c r="D14" t="inlineStr">
        <is>
          <t>CORE</t>
        </is>
      </c>
      <c r="E14" s="2" t="n">
        <v>550</v>
      </c>
      <c r="F14" s="2" t="n">
        <v>500</v>
      </c>
      <c r="G14" t="inlineStr">
        <is>
          <t>Wind turbine quality issues persist; grid equipment margins &lt;10%</t>
        </is>
      </c>
    </row>
    <row r="15">
      <c r="A15" t="inlineStr">
        <is>
          <t>GE</t>
        </is>
      </c>
      <c r="B15" t="inlineStr">
        <is>
          <t>GE Aerospace</t>
        </is>
      </c>
      <c r="C15" t="inlineStr">
        <is>
          <t>1</t>
        </is>
      </c>
      <c r="D15" t="inlineStr">
        <is>
          <t>CORE</t>
        </is>
      </c>
      <c r="E15" s="2" t="n">
        <v>280</v>
      </c>
      <c r="F15" s="2" t="n">
        <v>270</v>
      </c>
      <c r="G15" t="inlineStr">
        <is>
          <t>Commercial aerospace orders decline 2+ years; LEAP engine issues</t>
        </is>
      </c>
    </row>
    <row r="16">
      <c r="A16" t="inlineStr">
        <is>
          <t>WM</t>
        </is>
      </c>
      <c r="B16" t="inlineStr">
        <is>
          <t>Waste Management</t>
        </is>
      </c>
      <c r="C16" t="inlineStr">
        <is>
          <t>1</t>
        </is>
      </c>
      <c r="D16" t="inlineStr">
        <is>
          <t>CORE</t>
        </is>
      </c>
      <c r="E16" s="2" t="n">
        <v>210</v>
      </c>
      <c r="F16" s="2" t="n">
        <v>200</v>
      </c>
      <c r="G16" t="inlineStr">
        <is>
          <t>FCF margins compress &lt;12% sustained; Stericycle integration fails</t>
        </is>
      </c>
    </row>
    <row r="17">
      <c r="A17" t="inlineStr">
        <is>
          <t>ODFL</t>
        </is>
      </c>
      <c r="B17" t="inlineStr">
        <is>
          <t>Old Dominion Freight</t>
        </is>
      </c>
      <c r="C17" t="inlineStr">
        <is>
          <t>1B</t>
        </is>
      </c>
      <c r="D17" t="inlineStr">
        <is>
          <t>HUNT</t>
        </is>
      </c>
      <c r="E17" s="2" t="n">
        <v>140</v>
      </c>
      <c r="F17" s="2" t="n">
        <v>125</v>
      </c>
      <c r="G17" t="inlineStr">
        <is>
          <t>LTL market share loss &gt;3pts; pricing discipline breaks industry-wide</t>
        </is>
      </c>
    </row>
    <row r="18">
      <c r="A18" t="inlineStr">
        <is>
          <t>TYL</t>
        </is>
      </c>
      <c r="B18" t="inlineStr">
        <is>
          <t>Tyler Technologies</t>
        </is>
      </c>
      <c r="C18" t="inlineStr">
        <is>
          <t>1B</t>
        </is>
      </c>
      <c r="D18" t="inlineStr">
        <is>
          <t>DCA</t>
        </is>
      </c>
      <c r="E18" s="2" t="n">
        <v>400</v>
      </c>
      <c r="F18" s="2" t="n">
        <v>380</v>
      </c>
      <c r="G18" t="inlineStr">
        <is>
          <t>Cloud bookings growth &lt;10%; government budget cuts impair pipeline</t>
        </is>
      </c>
    </row>
    <row r="19">
      <c r="A19" t="inlineStr">
        <is>
          <t>FICO</t>
        </is>
      </c>
      <c r="B19" t="inlineStr">
        <is>
          <t>Fair Isaac</t>
        </is>
      </c>
      <c r="C19" t="inlineStr">
        <is>
          <t>1B</t>
        </is>
      </c>
      <c r="D19" t="inlineStr">
        <is>
          <t>DCA</t>
        </is>
      </c>
      <c r="E19" s="2" t="n">
        <v>1400</v>
      </c>
      <c r="F19" s="2" t="n">
        <v>1300</v>
      </c>
      <c r="G19" t="inlineStr">
        <is>
          <t>VantageScore gains &gt;30% GSE market share; CFPB regulatory action</t>
        </is>
      </c>
    </row>
    <row r="20">
      <c r="A20" t="inlineStr">
        <is>
          <t>CPRT</t>
        </is>
      </c>
      <c r="B20" t="inlineStr">
        <is>
          <t>Copart</t>
        </is>
      </c>
      <c r="C20" t="inlineStr">
        <is>
          <t>1B</t>
        </is>
      </c>
      <c r="D20" t="inlineStr">
        <is>
          <t>HUNT</t>
        </is>
      </c>
      <c r="E20" s="2" t="n">
        <v>35</v>
      </c>
      <c r="F20" s="2" t="n">
        <v>32</v>
      </c>
      <c r="G20" t="inlineStr">
        <is>
          <t>Insurance carriers vertically integrate salvage; total loss rates decline</t>
        </is>
      </c>
    </row>
    <row r="21">
      <c r="A21" t="inlineStr">
        <is>
          <t>IDXX</t>
        </is>
      </c>
      <c r="B21" t="inlineStr">
        <is>
          <t>IDEXX Labs</t>
        </is>
      </c>
      <c r="C21" t="inlineStr">
        <is>
          <t>1B</t>
        </is>
      </c>
      <c r="D21" t="inlineStr">
        <is>
          <t>DCA</t>
        </is>
      </c>
      <c r="E21" s="2" t="n">
        <v>550</v>
      </c>
      <c r="F21" s="2" t="n">
        <v>500</v>
      </c>
      <c r="G21" t="inlineStr">
        <is>
          <t>Vet visit frequency declines sustained; loses reference lab share</t>
        </is>
      </c>
    </row>
    <row r="22">
      <c r="A22" t="inlineStr">
        <is>
          <t>VRSN</t>
        </is>
      </c>
      <c r="B22" t="inlineStr">
        <is>
          <t>Verisign</t>
        </is>
      </c>
      <c r="C22" t="inlineStr">
        <is>
          <t>1B</t>
        </is>
      </c>
      <c r="D22" t="inlineStr">
        <is>
          <t>HUNT</t>
        </is>
      </c>
      <c r="E22" s="2" t="n">
        <v>220</v>
      </c>
      <c r="F22" s="2" t="n">
        <v>200</v>
      </c>
      <c r="G22" t="inlineStr">
        <is>
          <t>.com/.net registry contract not renewed; ICANN policy change</t>
        </is>
      </c>
    </row>
    <row r="23">
      <c r="A23" t="inlineStr">
        <is>
          <t>ROP</t>
        </is>
      </c>
      <c r="B23" t="inlineStr">
        <is>
          <t>Roper Technologies</t>
        </is>
      </c>
      <c r="C23" t="inlineStr">
        <is>
          <t>1B</t>
        </is>
      </c>
      <c r="D23" t="inlineStr">
        <is>
          <t>HUNT</t>
        </is>
      </c>
      <c r="E23" s="2" t="n">
        <v>400</v>
      </c>
      <c r="F23" s="2" t="n">
        <v>380</v>
      </c>
      <c r="G23" t="inlineStr">
        <is>
          <t>Organic growth &lt;4% for 2+ years; acquisition integration failures</t>
        </is>
      </c>
    </row>
    <row r="24">
      <c r="A24" t="inlineStr">
        <is>
          <t>RSG</t>
        </is>
      </c>
      <c r="B24" t="inlineStr">
        <is>
          <t>Republic Services</t>
        </is>
      </c>
      <c r="C24" t="inlineStr">
        <is>
          <t>1B</t>
        </is>
      </c>
      <c r="D24" t="inlineStr">
        <is>
          <t>DCA</t>
        </is>
      </c>
      <c r="E24" s="2" t="n">
        <v>190</v>
      </c>
      <c r="F24" s="2" t="n">
        <v>180</v>
      </c>
      <c r="G24" t="inlineStr">
        <is>
          <t>FCF margins compress &lt;12% sustained; loses municipal contracts to WM</t>
        </is>
      </c>
    </row>
    <row r="25">
      <c r="A25" t="inlineStr">
        <is>
          <t>JKHY</t>
        </is>
      </c>
      <c r="B25" t="inlineStr">
        <is>
          <t>Jack Henry</t>
        </is>
      </c>
      <c r="C25" t="inlineStr">
        <is>
          <t>1B</t>
        </is>
      </c>
      <c r="D25" t="inlineStr">
        <is>
          <t>DCA</t>
        </is>
      </c>
      <c r="E25" s="2" t="n">
        <v>160</v>
      </c>
      <c r="F25" s="2" t="n">
        <v>150</v>
      </c>
      <c r="G25" t="inlineStr">
        <is>
          <t>Core banking share loss to FIS/Fiserv; credit union consolidation</t>
        </is>
      </c>
    </row>
    <row r="26">
      <c r="A26" t="inlineStr">
        <is>
          <t>PWR</t>
        </is>
      </c>
      <c r="B26" t="inlineStr">
        <is>
          <t>Quanta Services</t>
        </is>
      </c>
      <c r="C26" t="inlineStr">
        <is>
          <t>1B</t>
        </is>
      </c>
      <c r="D26" t="inlineStr">
        <is>
          <t>HUNT</t>
        </is>
      </c>
      <c r="E26" s="2" t="n">
        <v>350</v>
      </c>
      <c r="F26" s="2" t="n">
        <v>320</v>
      </c>
      <c r="G26" t="inlineStr">
        <is>
          <t>Utility CapEx cycle reverses; grid buildout delays &gt;2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0" customWidth="1" min="11" max="11"/>
  </cols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Avg_Cost</t>
        </is>
      </c>
      <c r="D1" s="1" t="inlineStr">
        <is>
          <t>Total_Invested</t>
        </is>
      </c>
      <c r="E1" s="1" t="inlineStr">
        <is>
          <t>Current_Price</t>
        </is>
      </c>
      <c r="F1" s="1" t="inlineStr">
        <is>
          <t>Market_Value</t>
        </is>
      </c>
      <c r="G1" s="1" t="inlineStr">
        <is>
          <t>Unrealized_PnL</t>
        </is>
      </c>
      <c r="H1" s="1" t="inlineStr">
        <is>
          <t>Unrealized_Pct</t>
        </is>
      </c>
      <c r="I1" s="1" t="inlineStr">
        <is>
          <t>Portfolio_Wt</t>
        </is>
      </c>
      <c r="J1" s="1" t="inlineStr">
        <is>
          <t>First_Buy_Date</t>
        </is>
      </c>
      <c r="K1" s="1" t="inlineStr">
        <is>
          <t>Days_Held</t>
        </is>
      </c>
    </row>
    <row r="2">
      <c r="A2" t="inlineStr">
        <is>
          <t>VOO</t>
        </is>
      </c>
      <c r="B2" s="3" t="n">
        <v>0</v>
      </c>
      <c r="C2" s="4" t="n">
        <v>0</v>
      </c>
      <c r="D2" s="5">
        <f>B2*C2</f>
        <v/>
      </c>
      <c r="E2" s="5" t="n">
        <v>637.0900268554688</v>
      </c>
      <c r="F2" s="5">
        <f>B2*E2</f>
        <v/>
      </c>
      <c r="G2" s="5">
        <f>F2-D2</f>
        <v/>
      </c>
      <c r="H2" s="6">
        <f>IF(D2=0,0,G2/D2)</f>
        <v/>
      </c>
      <c r="I2" s="6">
        <f>IF($F$27=0,0,F2/$F$27)</f>
        <v/>
      </c>
      <c r="J2" s="3" t="inlineStr"/>
      <c r="K2">
        <f>IF(J2="",0,TODAY()-J2)</f>
        <v/>
      </c>
    </row>
    <row r="3">
      <c r="A3" t="inlineStr">
        <is>
          <t>MSFT</t>
        </is>
      </c>
      <c r="B3" s="3" t="n">
        <v>10</v>
      </c>
      <c r="C3" s="4" t="n">
        <v>450</v>
      </c>
      <c r="D3" s="5">
        <f>B3*C3</f>
        <v/>
      </c>
      <c r="E3" s="5" t="n">
        <v>470.2799987792969</v>
      </c>
      <c r="F3" s="5">
        <f>B3*E3</f>
        <v/>
      </c>
      <c r="G3" s="5">
        <f>F3-D3</f>
        <v/>
      </c>
      <c r="H3" s="6">
        <f>IF(D3=0,0,G3/D3)</f>
        <v/>
      </c>
      <c r="I3" s="6">
        <f>IF($F$27=0,0,F3/$F$27)</f>
        <v/>
      </c>
      <c r="J3" s="3" t="inlineStr"/>
      <c r="K3">
        <f>IF(J3="",0,TODAY()-J3)</f>
        <v/>
      </c>
    </row>
    <row r="4">
      <c r="A4" t="inlineStr">
        <is>
          <t>AAPL</t>
        </is>
      </c>
      <c r="B4" s="3" t="n">
        <v>0</v>
      </c>
      <c r="C4" s="4" t="n">
        <v>0</v>
      </c>
      <c r="D4" s="5">
        <f>B4*C4</f>
        <v/>
      </c>
      <c r="E4" s="5" t="n">
        <v>255.4100036621094</v>
      </c>
      <c r="F4" s="5">
        <f>B4*E4</f>
        <v/>
      </c>
      <c r="G4" s="5">
        <f>F4-D4</f>
        <v/>
      </c>
      <c r="H4" s="6">
        <f>IF(D4=0,0,G4/D4)</f>
        <v/>
      </c>
      <c r="I4" s="6">
        <f>IF($F$27=0,0,F4/$F$27)</f>
        <v/>
      </c>
      <c r="J4" s="3" t="inlineStr"/>
      <c r="K4">
        <f>IF(J4="",0,TODAY()-J4)</f>
        <v/>
      </c>
    </row>
    <row r="5">
      <c r="A5" t="inlineStr">
        <is>
          <t>NVDA</t>
        </is>
      </c>
      <c r="B5" s="3" t="n">
        <v>0</v>
      </c>
      <c r="C5" s="4" t="n">
        <v>0</v>
      </c>
      <c r="D5" s="5">
        <f>B5*C5</f>
        <v/>
      </c>
      <c r="E5" s="5" t="n">
        <v>186.4700012207031</v>
      </c>
      <c r="F5" s="5">
        <f>B5*E5</f>
        <v/>
      </c>
      <c r="G5" s="5">
        <f>F5-D5</f>
        <v/>
      </c>
      <c r="H5" s="6">
        <f>IF(D5=0,0,G5/D5)</f>
        <v/>
      </c>
      <c r="I5" s="6">
        <f>IF($F$27=0,0,F5/$F$27)</f>
        <v/>
      </c>
      <c r="J5" s="3" t="inlineStr"/>
      <c r="K5">
        <f>IF(J5="",0,TODAY()-J5)</f>
        <v/>
      </c>
    </row>
    <row r="6">
      <c r="A6" t="inlineStr">
        <is>
          <t>ASML</t>
        </is>
      </c>
      <c r="B6" s="3" t="n">
        <v>0</v>
      </c>
      <c r="C6" s="4" t="n">
        <v>0</v>
      </c>
      <c r="D6" s="5">
        <f>B6*C6</f>
        <v/>
      </c>
      <c r="E6" s="5" t="n">
        <v>1413.349975585938</v>
      </c>
      <c r="F6" s="5">
        <f>B6*E6</f>
        <v/>
      </c>
      <c r="G6" s="5">
        <f>F6-D6</f>
        <v/>
      </c>
      <c r="H6" s="6">
        <f>IF(D6=0,0,G6/D6)</f>
        <v/>
      </c>
      <c r="I6" s="6">
        <f>IF($F$27=0,0,F6/$F$27)</f>
        <v/>
      </c>
      <c r="J6" s="3" t="inlineStr"/>
      <c r="K6">
        <f>IF(J6="",0,TODAY()-J6)</f>
        <v/>
      </c>
    </row>
    <row r="7">
      <c r="A7" t="inlineStr">
        <is>
          <t>BAC</t>
        </is>
      </c>
      <c r="B7" s="3" t="n">
        <v>0</v>
      </c>
      <c r="C7" s="4" t="n">
        <v>0</v>
      </c>
      <c r="D7" s="5">
        <f>B7*C7</f>
        <v/>
      </c>
      <c r="E7" s="5" t="n">
        <v>52.02000045776367</v>
      </c>
      <c r="F7" s="5">
        <f>B7*E7</f>
        <v/>
      </c>
      <c r="G7" s="5">
        <f>F7-D7</f>
        <v/>
      </c>
      <c r="H7" s="6">
        <f>IF(D7=0,0,G7/D7)</f>
        <v/>
      </c>
      <c r="I7" s="6">
        <f>IF($F$27=0,0,F7/$F$27)</f>
        <v/>
      </c>
      <c r="J7" s="3" t="inlineStr"/>
      <c r="K7">
        <f>IF(J7="",0,TODAY()-J7)</f>
        <v/>
      </c>
    </row>
    <row r="8">
      <c r="A8" t="inlineStr">
        <is>
          <t>CB</t>
        </is>
      </c>
      <c r="B8" s="3" t="n">
        <v>0</v>
      </c>
      <c r="C8" s="4" t="n">
        <v>0</v>
      </c>
      <c r="D8" s="5">
        <f>B8*C8</f>
        <v/>
      </c>
      <c r="E8" s="5" t="n">
        <v>303.489990234375</v>
      </c>
      <c r="F8" s="5">
        <f>B8*E8</f>
        <v/>
      </c>
      <c r="G8" s="5">
        <f>F8-D8</f>
        <v/>
      </c>
      <c r="H8" s="6">
        <f>IF(D8=0,0,G8/D8)</f>
        <v/>
      </c>
      <c r="I8" s="6">
        <f>IF($F$27=0,0,F8/$F$27)</f>
        <v/>
      </c>
      <c r="J8" s="3" t="inlineStr"/>
      <c r="K8">
        <f>IF(J8="",0,TODAY()-J8)</f>
        <v/>
      </c>
    </row>
    <row r="9">
      <c r="A9" t="inlineStr">
        <is>
          <t>V</t>
        </is>
      </c>
      <c r="B9" s="3" t="n">
        <v>0</v>
      </c>
      <c r="C9" s="4" t="n">
        <v>0</v>
      </c>
      <c r="D9" s="5">
        <f>B9*C9</f>
        <v/>
      </c>
      <c r="E9" s="5" t="n">
        <v>328.489990234375</v>
      </c>
      <c r="F9" s="5">
        <f>B9*E9</f>
        <v/>
      </c>
      <c r="G9" s="5">
        <f>F9-D9</f>
        <v/>
      </c>
      <c r="H9" s="6">
        <f>IF(D9=0,0,G9/D9)</f>
        <v/>
      </c>
      <c r="I9" s="6">
        <f>IF($F$27=0,0,F9/$F$27)</f>
        <v/>
      </c>
      <c r="J9" s="3" t="inlineStr"/>
      <c r="K9">
        <f>IF(J9="",0,TODAY()-J9)</f>
        <v/>
      </c>
    </row>
    <row r="10">
      <c r="A10" t="inlineStr">
        <is>
          <t>MCO</t>
        </is>
      </c>
      <c r="B10" s="3" t="n">
        <v>0</v>
      </c>
      <c r="C10" s="4" t="n">
        <v>0</v>
      </c>
      <c r="D10" s="5">
        <f>B10*C10</f>
        <v/>
      </c>
      <c r="E10" s="5" t="n">
        <v>525.4199829101562</v>
      </c>
      <c r="F10" s="5">
        <f>B10*E10</f>
        <v/>
      </c>
      <c r="G10" s="5">
        <f>F10-D10</f>
        <v/>
      </c>
      <c r="H10" s="6">
        <f>IF(D10=0,0,G10/D10)</f>
        <v/>
      </c>
      <c r="I10" s="6">
        <f>IF($F$27=0,0,F10/$F$27)</f>
        <v/>
      </c>
      <c r="J10" s="3" t="inlineStr"/>
      <c r="K10">
        <f>IF(J10="",0,TODAY()-J10)</f>
        <v/>
      </c>
    </row>
    <row r="11">
      <c r="A11" t="inlineStr">
        <is>
          <t>JNJ</t>
        </is>
      </c>
      <c r="B11" s="3" t="n">
        <v>0</v>
      </c>
      <c r="C11" s="4" t="n">
        <v>0</v>
      </c>
      <c r="D11" s="5">
        <f>B11*C11</f>
        <v/>
      </c>
      <c r="E11" s="5" t="n">
        <v>221.4900054931641</v>
      </c>
      <c r="F11" s="5">
        <f>B11*E11</f>
        <v/>
      </c>
      <c r="G11" s="5">
        <f>F11-D11</f>
        <v/>
      </c>
      <c r="H11" s="6">
        <f>IF(D11=0,0,G11/D11)</f>
        <v/>
      </c>
      <c r="I11" s="6">
        <f>IF($F$27=0,0,F11/$F$27)</f>
        <v/>
      </c>
      <c r="J11" s="3" t="inlineStr"/>
      <c r="K11">
        <f>IF(J11="",0,TODAY()-J11)</f>
        <v/>
      </c>
    </row>
    <row r="12">
      <c r="A12" t="inlineStr">
        <is>
          <t>NVO</t>
        </is>
      </c>
      <c r="B12" s="3" t="n">
        <v>0</v>
      </c>
      <c r="C12" s="4" t="n">
        <v>0</v>
      </c>
      <c r="D12" s="5">
        <f>B12*C12</f>
        <v/>
      </c>
      <c r="E12" s="5" t="n">
        <v>63.97999954223633</v>
      </c>
      <c r="F12" s="5">
        <f>B12*E12</f>
        <v/>
      </c>
      <c r="G12" s="5">
        <f>F12-D12</f>
        <v/>
      </c>
      <c r="H12" s="6">
        <f>IF(D12=0,0,G12/D12)</f>
        <v/>
      </c>
      <c r="I12" s="6">
        <f>IF($F$27=0,0,F12/$F$27)</f>
        <v/>
      </c>
      <c r="J12" s="3" t="inlineStr"/>
      <c r="K12">
        <f>IF(J12="",0,TODAY()-J12)</f>
        <v/>
      </c>
    </row>
    <row r="13">
      <c r="A13" t="inlineStr">
        <is>
          <t>CVX</t>
        </is>
      </c>
      <c r="B13" s="3" t="n">
        <v>0</v>
      </c>
      <c r="C13" s="4" t="n">
        <v>0</v>
      </c>
      <c r="D13" s="5">
        <f>B13*C13</f>
        <v/>
      </c>
      <c r="E13" s="5" t="n">
        <v>167.5</v>
      </c>
      <c r="F13" s="5">
        <f>B13*E13</f>
        <v/>
      </c>
      <c r="G13" s="5">
        <f>F13-D13</f>
        <v/>
      </c>
      <c r="H13" s="6">
        <f>IF(D13=0,0,G13/D13)</f>
        <v/>
      </c>
      <c r="I13" s="6">
        <f>IF($F$27=0,0,F13/$F$27)</f>
        <v/>
      </c>
      <c r="J13" s="3" t="inlineStr"/>
      <c r="K13">
        <f>IF(J13="",0,TODAY()-J13)</f>
        <v/>
      </c>
    </row>
    <row r="14">
      <c r="A14" t="inlineStr">
        <is>
          <t>GEV</t>
        </is>
      </c>
      <c r="B14" s="3" t="n">
        <v>0</v>
      </c>
      <c r="C14" s="4" t="n">
        <v>0</v>
      </c>
      <c r="D14" s="5">
        <f>B14*C14</f>
        <v/>
      </c>
      <c r="E14" s="5" t="n">
        <v>665.989990234375</v>
      </c>
      <c r="F14" s="5">
        <f>B14*E14</f>
        <v/>
      </c>
      <c r="G14" s="5">
        <f>F14-D14</f>
        <v/>
      </c>
      <c r="H14" s="6">
        <f>IF(D14=0,0,G14/D14)</f>
        <v/>
      </c>
      <c r="I14" s="6">
        <f>IF($F$27=0,0,F14/$F$27)</f>
        <v/>
      </c>
      <c r="J14" s="3" t="inlineStr"/>
      <c r="K14">
        <f>IF(J14="",0,TODAY()-J14)</f>
        <v/>
      </c>
    </row>
    <row r="15">
      <c r="A15" t="inlineStr">
        <is>
          <t>GE</t>
        </is>
      </c>
      <c r="B15" s="3" t="n">
        <v>0</v>
      </c>
      <c r="C15" s="4" t="n">
        <v>0</v>
      </c>
      <c r="D15" s="5">
        <f>B15*C15</f>
        <v/>
      </c>
      <c r="E15" s="5" t="n">
        <v>295.0599975585938</v>
      </c>
      <c r="F15" s="5">
        <f>B15*E15</f>
        <v/>
      </c>
      <c r="G15" s="5">
        <f>F15-D15</f>
        <v/>
      </c>
      <c r="H15" s="6">
        <f>IF(D15=0,0,G15/D15)</f>
        <v/>
      </c>
      <c r="I15" s="6">
        <f>IF($F$27=0,0,F15/$F$27)</f>
        <v/>
      </c>
      <c r="J15" s="3" t="inlineStr"/>
      <c r="K15">
        <f>IF(J15="",0,TODAY()-J15)</f>
        <v/>
      </c>
    </row>
    <row r="16">
      <c r="A16" t="inlineStr">
        <is>
          <t>WM</t>
        </is>
      </c>
      <c r="B16" s="3" t="n">
        <v>0</v>
      </c>
      <c r="C16" s="4" t="n">
        <v>0</v>
      </c>
      <c r="D16" s="5">
        <f>B16*C16</f>
        <v/>
      </c>
      <c r="E16" s="5" t="n">
        <v>230.25</v>
      </c>
      <c r="F16" s="5">
        <f>B16*E16</f>
        <v/>
      </c>
      <c r="G16" s="5">
        <f>F16-D16</f>
        <v/>
      </c>
      <c r="H16" s="6">
        <f>IF(D16=0,0,G16/D16)</f>
        <v/>
      </c>
      <c r="I16" s="6">
        <f>IF($F$27=0,0,F16/$F$27)</f>
        <v/>
      </c>
      <c r="J16" s="3" t="inlineStr"/>
      <c r="K16">
        <f>IF(J16="",0,TODAY()-J16)</f>
        <v/>
      </c>
    </row>
    <row r="17">
      <c r="A17" t="inlineStr">
        <is>
          <t>ODFL</t>
        </is>
      </c>
      <c r="B17" s="3" t="n">
        <v>0</v>
      </c>
      <c r="C17" s="4" t="n">
        <v>0</v>
      </c>
      <c r="D17" s="5">
        <f>B17*C17</f>
        <v/>
      </c>
      <c r="E17" s="5" t="n">
        <v>173.9900054931641</v>
      </c>
      <c r="F17" s="5">
        <f>B17*E17</f>
        <v/>
      </c>
      <c r="G17" s="5">
        <f>F17-D17</f>
        <v/>
      </c>
      <c r="H17" s="6">
        <f>IF(D17=0,0,G17/D17)</f>
        <v/>
      </c>
      <c r="I17" s="6">
        <f>IF($F$27=0,0,F17/$F$27)</f>
        <v/>
      </c>
      <c r="J17" s="3" t="inlineStr"/>
      <c r="K17">
        <f>IF(J17="",0,TODAY()-J17)</f>
        <v/>
      </c>
    </row>
    <row r="18">
      <c r="A18" t="inlineStr">
        <is>
          <t>TYL</t>
        </is>
      </c>
      <c r="B18" s="3" t="n">
        <v>0</v>
      </c>
      <c r="C18" s="4" t="n">
        <v>0</v>
      </c>
      <c r="D18" s="5">
        <f>B18*C18</f>
        <v/>
      </c>
      <c r="E18" s="5" t="n">
        <v>439.8200073242188</v>
      </c>
      <c r="F18" s="5">
        <f>B18*E18</f>
        <v/>
      </c>
      <c r="G18" s="5">
        <f>F18-D18</f>
        <v/>
      </c>
      <c r="H18" s="6">
        <f>IF(D18=0,0,G18/D18)</f>
        <v/>
      </c>
      <c r="I18" s="6">
        <f>IF($F$27=0,0,F18/$F$27)</f>
        <v/>
      </c>
      <c r="J18" s="3" t="inlineStr"/>
      <c r="K18">
        <f>IF(J18="",0,TODAY()-J18)</f>
        <v/>
      </c>
    </row>
    <row r="19">
      <c r="A19" t="inlineStr">
        <is>
          <t>FICO</t>
        </is>
      </c>
      <c r="B19" s="3" t="n">
        <v>0</v>
      </c>
      <c r="C19" s="4" t="n">
        <v>0</v>
      </c>
      <c r="D19" s="5">
        <f>B19*C19</f>
        <v/>
      </c>
      <c r="E19" s="5" t="n">
        <v>1550.739990234375</v>
      </c>
      <c r="F19" s="5">
        <f>B19*E19</f>
        <v/>
      </c>
      <c r="G19" s="5">
        <f>F19-D19</f>
        <v/>
      </c>
      <c r="H19" s="6">
        <f>IF(D19=0,0,G19/D19)</f>
        <v/>
      </c>
      <c r="I19" s="6">
        <f>IF($F$27=0,0,F19/$F$27)</f>
        <v/>
      </c>
      <c r="J19" s="3" t="inlineStr"/>
      <c r="K19">
        <f>IF(J19="",0,TODAY()-J19)</f>
        <v/>
      </c>
    </row>
    <row r="20">
      <c r="A20" t="inlineStr">
        <is>
          <t>CPRT</t>
        </is>
      </c>
      <c r="B20" s="3" t="n">
        <v>0</v>
      </c>
      <c r="C20" s="4" t="n">
        <v>0</v>
      </c>
      <c r="D20" s="5">
        <f>B20*C20</f>
        <v/>
      </c>
      <c r="E20" s="5" t="n">
        <v>41.54000091552734</v>
      </c>
      <c r="F20" s="5">
        <f>B20*E20</f>
        <v/>
      </c>
      <c r="G20" s="5">
        <f>F20-D20</f>
        <v/>
      </c>
      <c r="H20" s="6">
        <f>IF(D20=0,0,G20/D20)</f>
        <v/>
      </c>
      <c r="I20" s="6">
        <f>IF($F$27=0,0,F20/$F$27)</f>
        <v/>
      </c>
      <c r="J20" s="3" t="inlineStr"/>
      <c r="K20">
        <f>IF(J20="",0,TODAY()-J20)</f>
        <v/>
      </c>
    </row>
    <row r="21">
      <c r="A21" t="inlineStr">
        <is>
          <t>IDXX</t>
        </is>
      </c>
      <c r="B21" s="3" t="n">
        <v>0</v>
      </c>
      <c r="C21" s="4" t="n">
        <v>0</v>
      </c>
      <c r="D21" s="5">
        <f>B21*C21</f>
        <v/>
      </c>
      <c r="E21" s="5" t="n">
        <v>697.8200073242188</v>
      </c>
      <c r="F21" s="5">
        <f>B21*E21</f>
        <v/>
      </c>
      <c r="G21" s="5">
        <f>F21-D21</f>
        <v/>
      </c>
      <c r="H21" s="6">
        <f>IF(D21=0,0,G21/D21)</f>
        <v/>
      </c>
      <c r="I21" s="6">
        <f>IF($F$27=0,0,F21/$F$27)</f>
        <v/>
      </c>
      <c r="J21" s="3" t="inlineStr"/>
      <c r="K21">
        <f>IF(J21="",0,TODAY()-J21)</f>
        <v/>
      </c>
    </row>
    <row r="22">
      <c r="A22" t="inlineStr">
        <is>
          <t>VRSN</t>
        </is>
      </c>
      <c r="B22" s="3" t="n">
        <v>0</v>
      </c>
      <c r="C22" s="4" t="n">
        <v>0</v>
      </c>
      <c r="D22" s="5">
        <f>B22*C22</f>
        <v/>
      </c>
      <c r="E22" s="5" t="n">
        <v>251.5399932861328</v>
      </c>
      <c r="F22" s="5">
        <f>B22*E22</f>
        <v/>
      </c>
      <c r="G22" s="5">
        <f>F22-D22</f>
        <v/>
      </c>
      <c r="H22" s="6">
        <f>IF(D22=0,0,G22/D22)</f>
        <v/>
      </c>
      <c r="I22" s="6">
        <f>IF($F$27=0,0,F22/$F$27)</f>
        <v/>
      </c>
      <c r="J22" s="3" t="inlineStr"/>
      <c r="K22">
        <f>IF(J22="",0,TODAY()-J22)</f>
        <v/>
      </c>
    </row>
    <row r="23">
      <c r="A23" t="inlineStr">
        <is>
          <t>ROP</t>
        </is>
      </c>
      <c r="B23" s="3" t="n">
        <v>20</v>
      </c>
      <c r="C23" s="4" t="n">
        <v>400</v>
      </c>
      <c r="D23" s="5">
        <f>B23*C23</f>
        <v/>
      </c>
      <c r="E23" s="5" t="n">
        <v>408.6700134277344</v>
      </c>
      <c r="F23" s="5">
        <f>B23*E23</f>
        <v/>
      </c>
      <c r="G23" s="5">
        <f>F23-D23</f>
        <v/>
      </c>
      <c r="H23" s="6">
        <f>IF(D23=0,0,G23/D23)</f>
        <v/>
      </c>
      <c r="I23" s="6">
        <f>IF($F$27=0,0,F23/$F$27)</f>
        <v/>
      </c>
      <c r="J23" s="3" t="inlineStr">
        <is>
          <t>2026-01-21</t>
        </is>
      </c>
      <c r="K23">
        <f>IF(J23="",0,TODAY()-J23)</f>
        <v/>
      </c>
    </row>
    <row r="24">
      <c r="A24" t="inlineStr">
        <is>
          <t>RSG</t>
        </is>
      </c>
      <c r="B24" s="3" t="n">
        <v>0</v>
      </c>
      <c r="C24" s="4" t="n">
        <v>0</v>
      </c>
      <c r="D24" s="5">
        <f>B24*C24</f>
        <v/>
      </c>
      <c r="E24" s="5" t="n">
        <v>219.0800018310547</v>
      </c>
      <c r="F24" s="5">
        <f>B24*E24</f>
        <v/>
      </c>
      <c r="G24" s="5">
        <f>F24-D24</f>
        <v/>
      </c>
      <c r="H24" s="6">
        <f>IF(D24=0,0,G24/D24)</f>
        <v/>
      </c>
      <c r="I24" s="6">
        <f>IF($F$27=0,0,F24/$F$27)</f>
        <v/>
      </c>
      <c r="J24" s="3" t="inlineStr"/>
      <c r="K24">
        <f>IF(J24="",0,TODAY()-J24)</f>
        <v/>
      </c>
    </row>
    <row r="25">
      <c r="A25" t="inlineStr">
        <is>
          <t>JKHY</t>
        </is>
      </c>
      <c r="B25" s="3" t="n">
        <v>0</v>
      </c>
      <c r="C25" s="4" t="n">
        <v>0</v>
      </c>
      <c r="D25" s="5">
        <f>B25*C25</f>
        <v/>
      </c>
      <c r="E25" s="5" t="n">
        <v>182.9400024414062</v>
      </c>
      <c r="F25" s="5">
        <f>B25*E25</f>
        <v/>
      </c>
      <c r="G25" s="5">
        <f>F25-D25</f>
        <v/>
      </c>
      <c r="H25" s="6">
        <f>IF(D25=0,0,G25/D25)</f>
        <v/>
      </c>
      <c r="I25" s="6">
        <f>IF($F$27=0,0,F25/$F$27)</f>
        <v/>
      </c>
      <c r="J25" s="3" t="inlineStr"/>
      <c r="K25">
        <f>IF(J25="",0,TODAY()-J25)</f>
        <v/>
      </c>
    </row>
    <row r="26">
      <c r="A26" t="inlineStr">
        <is>
          <t>PWR</t>
        </is>
      </c>
      <c r="B26" s="3" t="n">
        <v>0</v>
      </c>
      <c r="C26" s="4" t="n">
        <v>0</v>
      </c>
      <c r="D26" s="5">
        <f>B26*C26</f>
        <v/>
      </c>
      <c r="E26" s="5" t="n">
        <v>470.7699890136719</v>
      </c>
      <c r="F26" s="5">
        <f>B26*E26</f>
        <v/>
      </c>
      <c r="G26" s="5">
        <f>F26-D26</f>
        <v/>
      </c>
      <c r="H26" s="6">
        <f>IF(D26=0,0,G26/D26)</f>
        <v/>
      </c>
      <c r="I26" s="6">
        <f>IF($F$27=0,0,F26/$F$27)</f>
        <v/>
      </c>
      <c r="J26" s="3" t="inlineStr"/>
      <c r="K26">
        <f>IF(J26="",0,TODAY()-J26)</f>
        <v/>
      </c>
    </row>
    <row r="27">
      <c r="A27" s="7" t="inlineStr">
        <is>
          <t>TOTAL</t>
        </is>
      </c>
      <c r="C27" s="5" t="n"/>
      <c r="D27" s="5">
        <f>SUM(D2:D26)</f>
        <v/>
      </c>
      <c r="E27" s="5" t="n"/>
      <c r="F27" s="5">
        <f>SUM(F2:F26)</f>
        <v/>
      </c>
      <c r="G27" s="5">
        <f>SUM(G2:G26)</f>
        <v/>
      </c>
      <c r="H27" s="6">
        <f>IF(D27=0,0,G27/D27)</f>
        <v/>
      </c>
      <c r="I27" s="6">
        <f>SUM(I2:I26)</f>
        <v/>
      </c>
    </row>
    <row r="28">
      <c r="A28" s="7" t="inlineStr">
        <is>
          <t>CASH</t>
        </is>
      </c>
      <c r="B28" t="n">
        <v>35500</v>
      </c>
      <c r="C28" s="5" t="n"/>
      <c r="D28" s="5" t="n"/>
      <c r="E28" s="5" t="n"/>
      <c r="F28" s="4" t="n">
        <v>32000</v>
      </c>
      <c r="G28" s="5" t="n"/>
      <c r="H28" s="6" t="n"/>
      <c r="I28" s="6" t="n"/>
    </row>
    <row r="29">
      <c r="A29" s="7" t="inlineStr">
        <is>
          <t>PORTFOLIO</t>
        </is>
      </c>
      <c r="C29" s="5" t="n"/>
      <c r="D29" s="5" t="n"/>
      <c r="E29" s="5" t="n"/>
      <c r="F29" s="5">
        <f>F27+F28</f>
        <v/>
      </c>
      <c r="G29" s="5" t="n"/>
      <c r="H29" s="6" t="n"/>
      <c r="I2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50" customWidth="1" min="9" max="9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Track</t>
        </is>
      </c>
      <c r="D1" s="1" t="inlineStr">
        <is>
          <t>Action</t>
        </is>
      </c>
      <c r="E1" s="1" t="inlineStr">
        <is>
          <t>Shares</t>
        </is>
      </c>
      <c r="F1" s="1" t="inlineStr">
        <is>
          <t>Price</t>
        </is>
      </c>
      <c r="G1" s="1" t="inlineStr">
        <is>
          <t>Signal</t>
        </is>
      </c>
      <c r="H1" s="1" t="inlineStr">
        <is>
          <t>Thesis</t>
        </is>
      </c>
      <c r="I1" s="1" t="inlineStr">
        <is>
          <t>Notes</t>
        </is>
      </c>
    </row>
    <row r="2">
      <c r="A2" t="inlineStr">
        <is>
          <t>2026-01-21</t>
        </is>
      </c>
      <c r="B2" t="inlineStr">
        <is>
          <t>MSFT</t>
        </is>
      </c>
      <c r="C2" t="inlineStr">
        <is>
          <t>BUY</t>
        </is>
      </c>
      <c r="D2" t="n">
        <v>10</v>
      </c>
      <c r="E2" t="n">
        <v>450</v>
      </c>
      <c r="F2" t="n">
        <v>3</v>
      </c>
      <c r="G2" t="inlineStr">
        <is>
          <t>Target Hit</t>
        </is>
      </c>
      <c r="H2" t="inlineStr">
        <is>
          <t>Intact</t>
        </is>
      </c>
      <c r="I2" t="inlineStr">
        <is>
          <t>First fill - GTC order from Jan-07</t>
        </is>
      </c>
    </row>
    <row r="3">
      <c r="A3" t="inlineStr">
        <is>
          <t>2026-01-21</t>
        </is>
      </c>
      <c r="B3" t="inlineStr">
        <is>
          <t>MSFT</t>
        </is>
      </c>
      <c r="C3" t="inlineStr">
        <is>
          <t>BUY</t>
        </is>
      </c>
      <c r="D3" t="n">
        <v>10</v>
      </c>
      <c r="E3" t="n">
        <v>450</v>
      </c>
      <c r="F3" t="n">
        <v>3</v>
      </c>
      <c r="G3" t="inlineStr">
        <is>
          <t>Target Hit</t>
        </is>
      </c>
      <c r="H3" t="inlineStr">
        <is>
          <t>Intact</t>
        </is>
      </c>
      <c r="I3" t="inlineStr">
        <is>
          <t>First fill - GTC order from Jan-07</t>
        </is>
      </c>
    </row>
    <row r="4">
      <c r="A4" t="inlineStr">
        <is>
          <t>2026-01-21</t>
        </is>
      </c>
      <c r="B4" t="inlineStr">
        <is>
          <t>ROP</t>
        </is>
      </c>
      <c r="C4" t="n">
        <v>3</v>
      </c>
      <c r="D4" t="inlineStr">
        <is>
          <t>BUY</t>
        </is>
      </c>
      <c r="E4" t="n">
        <v>10</v>
      </c>
      <c r="F4" t="n">
        <v>400</v>
      </c>
      <c r="G4" t="inlineStr">
        <is>
          <t>Target Hit</t>
        </is>
      </c>
      <c r="H4" t="inlineStr">
        <is>
          <t>Intact</t>
        </is>
      </c>
      <c r="I4" t="inlineStr">
        <is>
          <t>GTC from broker</t>
        </is>
      </c>
    </row>
    <row r="5">
      <c r="A5" t="inlineStr">
        <is>
          <t>2026-01-21</t>
        </is>
      </c>
      <c r="B5" t="inlineStr">
        <is>
          <t>ROP</t>
        </is>
      </c>
      <c r="C5" t="n">
        <v>3</v>
      </c>
      <c r="D5" t="inlineStr">
        <is>
          <t>BUY</t>
        </is>
      </c>
      <c r="E5" t="n">
        <v>10</v>
      </c>
      <c r="F5" t="n">
        <v>400</v>
      </c>
      <c r="G5" t="inlineStr">
        <is>
          <t>Target Hit</t>
        </is>
      </c>
      <c r="H5" t="inlineStr">
        <is>
          <t>Intact</t>
        </is>
      </c>
      <c r="I5" t="inlineStr">
        <is>
          <t>GTC from broker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14" customWidth="1" min="6" max="6"/>
    <col width="14" customWidth="1" min="7" max="7"/>
    <col width="40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Limit</t>
        </is>
      </c>
      <c r="D1" s="1" t="inlineStr">
        <is>
          <t>Shares</t>
        </is>
      </c>
      <c r="E1" s="1" t="inlineStr">
        <is>
          <t>Track</t>
        </is>
      </c>
      <c r="F1" s="1" t="inlineStr">
        <is>
          <t>Signal</t>
        </is>
      </c>
      <c r="G1" s="1" t="inlineStr">
        <is>
          <t>Thesis</t>
        </is>
      </c>
      <c r="H1" s="1" t="inlineStr">
        <is>
          <t>Notes</t>
        </is>
      </c>
      <c r="I1" s="1" t="inlineStr">
        <is>
          <t>Status</t>
        </is>
      </c>
    </row>
    <row r="2">
      <c r="A2" t="inlineStr">
        <is>
          <t>2026-01-14</t>
        </is>
      </c>
      <c r="B2" t="inlineStr">
        <is>
          <t>V</t>
        </is>
      </c>
      <c r="C2" t="n">
        <v>310.18</v>
      </c>
      <c r="D2" t="n">
        <v>3</v>
      </c>
      <c r="E2" t="n">
        <v>3</v>
      </c>
      <c r="F2" t="inlineStr">
        <is>
          <t>Target Hit</t>
        </is>
      </c>
      <c r="G2" t="inlineStr">
        <is>
          <t>Intact</t>
        </is>
      </c>
      <c r="H2" t="inlineStr">
        <is>
          <t>GTC from broker</t>
        </is>
      </c>
      <c r="I2" t="inlineStr">
        <is>
          <t>PENDING</t>
        </is>
      </c>
    </row>
    <row r="3">
      <c r="A3" t="inlineStr">
        <is>
          <t>2026-01-09</t>
        </is>
      </c>
      <c r="B3" t="inlineStr">
        <is>
          <t>PWR</t>
        </is>
      </c>
      <c r="C3" t="n">
        <v>350.35</v>
      </c>
      <c r="D3" t="n">
        <v>5</v>
      </c>
      <c r="E3" t="n">
        <v>3</v>
      </c>
      <c r="F3" t="inlineStr">
        <is>
          <t>Target Hit</t>
        </is>
      </c>
      <c r="G3" t="inlineStr">
        <is>
          <t>Intact</t>
        </is>
      </c>
      <c r="H3" t="inlineStr">
        <is>
          <t>GTC from broker</t>
        </is>
      </c>
      <c r="I3" t="inlineStr">
        <is>
          <t>PENDING</t>
        </is>
      </c>
    </row>
    <row r="4">
      <c r="A4" t="inlineStr">
        <is>
          <t>2026-01-08</t>
        </is>
      </c>
      <c r="B4" t="inlineStr">
        <is>
          <t>CB</t>
        </is>
      </c>
      <c r="C4" t="n">
        <v>280</v>
      </c>
      <c r="D4" t="n">
        <v>12</v>
      </c>
      <c r="E4" t="n">
        <v>3</v>
      </c>
      <c r="F4" t="inlineStr">
        <is>
          <t>Target Hit</t>
        </is>
      </c>
      <c r="G4" t="inlineStr">
        <is>
          <t>Intact</t>
        </is>
      </c>
      <c r="H4" t="inlineStr">
        <is>
          <t>GTC from broker</t>
        </is>
      </c>
      <c r="I4" t="inlineStr">
        <is>
          <t>PENDING</t>
        </is>
      </c>
    </row>
    <row r="5">
      <c r="A5" t="inlineStr">
        <is>
          <t>2026-01-08</t>
        </is>
      </c>
      <c r="B5" t="inlineStr">
        <is>
          <t>CVX</t>
        </is>
      </c>
      <c r="C5" t="n">
        <v>149.47</v>
      </c>
      <c r="D5" t="n">
        <v>15</v>
      </c>
      <c r="E5" t="n">
        <v>3</v>
      </c>
      <c r="F5" t="inlineStr">
        <is>
          <t>Target Hit</t>
        </is>
      </c>
      <c r="G5" t="inlineStr">
        <is>
          <t>Intact</t>
        </is>
      </c>
      <c r="H5" t="inlineStr">
        <is>
          <t>GTC from broker</t>
        </is>
      </c>
      <c r="I5" t="inlineStr">
        <is>
          <t>PENDING</t>
        </is>
      </c>
    </row>
    <row r="6">
      <c r="A6" t="inlineStr">
        <is>
          <t>2026-01-08</t>
        </is>
      </c>
      <c r="B6" t="inlineStr">
        <is>
          <t>CPRT</t>
        </is>
      </c>
      <c r="C6" t="n">
        <v>34.97</v>
      </c>
      <c r="D6" t="n">
        <v>60</v>
      </c>
      <c r="E6" t="n">
        <v>3</v>
      </c>
      <c r="F6" t="inlineStr">
        <is>
          <t>Target Hit</t>
        </is>
      </c>
      <c r="G6" t="inlineStr">
        <is>
          <t>Intact</t>
        </is>
      </c>
      <c r="H6" t="inlineStr">
        <is>
          <t>GTC from broker</t>
        </is>
      </c>
      <c r="I6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Old_Target</t>
        </is>
      </c>
      <c r="D1" s="1" t="inlineStr">
        <is>
          <t>New_Target</t>
        </is>
      </c>
      <c r="E1" s="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VOO_Price</t>
        </is>
      </c>
      <c r="C1" s="1" t="inlineStr">
        <is>
          <t>Portfolio_Value</t>
        </is>
      </c>
      <c r="D1" s="1" t="inlineStr">
        <is>
          <t>VOO_Return</t>
        </is>
      </c>
      <c r="E1" s="1" t="inlineStr">
        <is>
          <t>Portfolio_Return</t>
        </is>
      </c>
      <c r="F1" s="1" t="inlineStr">
        <is>
          <t>Alpha</t>
        </is>
      </c>
    </row>
    <row r="2">
      <c r="A2" t="inlineStr">
        <is>
          <t>2026-01-17</t>
        </is>
      </c>
      <c r="B2" t="n">
        <v>636.09</v>
      </c>
      <c r="C2" t="n">
        <v>40000</v>
      </c>
      <c r="D2" t="inlineStr">
        <is>
          <t>0.0%</t>
        </is>
      </c>
      <c r="E2" t="inlineStr">
        <is>
          <t>0.0%</t>
        </is>
      </c>
      <c r="F2" t="inlineStr">
        <is>
          <t>0.0%</t>
        </is>
      </c>
    </row>
    <row r="3">
      <c r="A3" t="inlineStr">
        <is>
          <t>2026-01-21</t>
        </is>
      </c>
      <c r="B3" t="n">
        <v>630.2899780273438</v>
      </c>
      <c r="C3" t="n">
        <v>44534.29992675781</v>
      </c>
      <c r="D3" s="6" t="n">
        <v>-0.009118241086412742</v>
      </c>
      <c r="E3" s="6" t="n">
        <v>0.1133574981689453</v>
      </c>
      <c r="F3" s="6" t="n">
        <v>0.1224757392553581</v>
      </c>
    </row>
    <row r="4">
      <c r="A4" t="inlineStr">
        <is>
          <t>2026-01-23</t>
        </is>
      </c>
      <c r="B4" t="n">
        <v>633.8300170898438</v>
      </c>
      <c r="C4" t="n">
        <v>44811.69982910156</v>
      </c>
      <c r="D4" s="6" t="n">
        <v>-0.003552929475634394</v>
      </c>
      <c r="E4" s="6" t="n">
        <v>0.1202924957275391</v>
      </c>
      <c r="F4" s="6" t="n">
        <v>0.1238454252031734</v>
      </c>
    </row>
    <row r="5">
      <c r="A5" t="inlineStr">
        <is>
          <t>2026-01-26</t>
        </is>
      </c>
      <c r="B5" t="n">
        <v>637.0900268554688</v>
      </c>
      <c r="C5" t="n">
        <v>44876.20025634766</v>
      </c>
      <c r="D5" s="6" t="n">
        <v>0.001572146796001695</v>
      </c>
      <c r="E5" s="6" t="n">
        <v>0.1219050064086914</v>
      </c>
      <c r="F5" s="6" t="n">
        <v>0.1203328596126897</v>
      </c>
    </row>
    <row r="6">
      <c r="A6" t="inlineStr">
        <is>
          <t>2026-01-26</t>
        </is>
      </c>
      <c r="B6" t="n">
        <v>637.0900268554688</v>
      </c>
      <c r="C6" t="n">
        <v>44876.20025634766</v>
      </c>
      <c r="D6" s="6" t="n">
        <v>0.001572146796001695</v>
      </c>
      <c r="E6" s="6" t="n">
        <v>0.1219050064086914</v>
      </c>
      <c r="F6" s="6" t="n">
        <v>0.1203328596126897</v>
      </c>
    </row>
    <row r="7">
      <c r="A7" t="inlineStr">
        <is>
          <t>2026-01-26</t>
        </is>
      </c>
      <c r="B7" t="n">
        <v>637.0900268554688</v>
      </c>
      <c r="C7" t="n">
        <v>44876.20025634766</v>
      </c>
      <c r="D7" s="6" t="n">
        <v>0.001572146796001695</v>
      </c>
      <c r="E7" s="6" t="n">
        <v>0.1219050064086914</v>
      </c>
      <c r="F7" s="6" t="n">
        <v>0.1203328596126897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0" customWidth="1" min="4" max="4"/>
    <col width="40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Category</t>
        </is>
      </c>
      <c r="D1" s="1" t="inlineStr">
        <is>
          <t>Lesson</t>
        </is>
      </c>
      <c r="E1" s="1" t="inlineStr">
        <is>
          <t>Outcome</t>
        </is>
      </c>
      <c r="F1" s="1" t="inlineStr">
        <is>
          <t>Roundtable_Link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2026-01-22T02:33:05Z</dcterms:created>
  <dcterms:modified xmlns:dcterms="http://purl.org/dc/terms/" xmlns:xsi="http://www.w3.org/2001/XMLSchema-instance" xsi:type="dcterms:W3CDTF">2026-01-27T00:55:27Z</dcterms:modified>
</cp:coreProperties>
</file>